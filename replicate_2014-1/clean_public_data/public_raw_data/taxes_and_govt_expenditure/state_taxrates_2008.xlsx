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15315" windowHeight="102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3" i="1"/>
  <c r="C24"/>
  <c r="C35"/>
  <c r="C52"/>
  <c r="C50"/>
  <c r="C49"/>
  <c r="C46"/>
  <c r="C40"/>
  <c r="C36"/>
  <c r="C34"/>
  <c r="C31"/>
  <c r="C9"/>
  <c r="C28"/>
  <c r="C21"/>
  <c r="C19"/>
  <c r="C18"/>
  <c r="C17"/>
  <c r="C16"/>
  <c r="C12"/>
  <c r="C6"/>
  <c r="C5"/>
  <c r="C4"/>
</calcChain>
</file>

<file path=xl/sharedStrings.xml><?xml version="1.0" encoding="utf-8"?>
<sst xmlns="http://schemas.openxmlformats.org/spreadsheetml/2006/main" count="54" uniqueCount="54">
  <si>
    <t>AL</t>
  </si>
  <si>
    <t>state</t>
  </si>
  <si>
    <t>AK</t>
  </si>
  <si>
    <t>AZ</t>
  </si>
  <si>
    <t>AR</t>
  </si>
  <si>
    <t>CA</t>
  </si>
  <si>
    <t>CO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</si>
  <si>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</si>
  <si>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</si>
  <si>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</si>
  <si>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</si>
  <si>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</si>
  <si>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</si>
  <si>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</si>
  <si>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</si>
  <si>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</si>
  <si>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</si>
  <si>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</si>
  <si>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</si>
  <si>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</si>
  <si>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</si>
  <si>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</si>
  <si>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</si>
  <si>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</si>
  <si>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</si>
  <si>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</si>
  <si>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</si>
  <si>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</si>
  <si>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</si>
  <si>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</si>
  <si>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</si>
  <si>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</si>
  <si>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</si>
  <si>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</si>
  <si>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</si>
  <si>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</si>
  <si>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</si>
  <si>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</si>
  <si>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</si>
  <si>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</si>
  <si>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</si>
  <si>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</si>
  <si>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</si>
  <si>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</si>
  <si>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</si>
  <si>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</si>
  <si>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</si>
  <si>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</si>
  <si>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</si>
  <si>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</si>
  <si>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DC</t>
  </si>
  <si>
    <t>CT</t>
  </si>
  <si>
    <t>st_tax40</t>
  </si>
  <si>
    <t>st_diff_tax_top20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</si>
</sst>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>
      <selection activeCell="C2" sqref="C2"/>
    </sheetView>
  </sheetViews>
  <sheetFormatPr defaultRowHeight="15"/>
  <sheetData>
    <row r="1" spans="1:3">
      <c r="A1" t="s">
        <v>1</v>
      </c>
      <c r="B1" t="s">
        <v>52</v>
      </c>
      <c r="C1" t="s">
        <v>53</v>
      </c>
    </row>
    <row r="2" spans="1:3">
      <c r="A2" t="s">
        <v>0</v>
      </c>
      <c r="B2">
        <v>5</v>
      </c>
      <c r="C2">
        <v>0</v>
      </c>
    </row>
    <row r="3" spans="1:3">
      <c r="A3" t="s">
        <v>2</v>
      </c>
      <c r="B3">
        <v>0</v>
      </c>
      <c r="C3">
        <v>0</v>
      </c>
    </row>
    <row r="4" spans="1:3">
      <c r="A4" t="s">
        <v>3</v>
      </c>
      <c r="B4">
        <v>3.36</v>
      </c>
      <c r="C4">
        <f>4.54-2.88</f>
        <v>1.6600000000000001</v>
      </c>
    </row>
    <row r="5" spans="1:3">
      <c r="A5" t="s">
        <v>4</v>
      </c>
      <c r="B5">
        <v>7</v>
      </c>
      <c r="C5">
        <f>7-6</f>
        <v>1</v>
      </c>
    </row>
    <row r="6" spans="1:3">
      <c r="A6" t="s">
        <v>5</v>
      </c>
      <c r="B6">
        <v>8</v>
      </c>
      <c r="C6">
        <f>10.3-4</f>
        <v>6.3000000000000007</v>
      </c>
    </row>
    <row r="7" spans="1:3">
      <c r="A7" t="s">
        <v>6</v>
      </c>
      <c r="B7">
        <v>4.63</v>
      </c>
      <c r="C7">
        <v>0</v>
      </c>
    </row>
    <row r="8" spans="1:3">
      <c r="A8" t="s">
        <v>51</v>
      </c>
      <c r="B8">
        <v>5</v>
      </c>
      <c r="C8">
        <v>0</v>
      </c>
    </row>
    <row r="9" spans="1:3">
      <c r="A9" t="s">
        <v>7</v>
      </c>
      <c r="B9">
        <v>5.55</v>
      </c>
      <c r="C9">
        <f>5.95-5.2</f>
        <v>0.75</v>
      </c>
    </row>
    <row r="10" spans="1:3">
      <c r="A10" t="s">
        <v>8</v>
      </c>
      <c r="B10">
        <v>0</v>
      </c>
      <c r="C10">
        <v>0</v>
      </c>
    </row>
    <row r="11" spans="1:3">
      <c r="A11" t="s">
        <v>9</v>
      </c>
      <c r="B11">
        <v>6</v>
      </c>
      <c r="C11">
        <v>0</v>
      </c>
    </row>
    <row r="12" spans="1:3">
      <c r="A12" t="s">
        <v>10</v>
      </c>
      <c r="B12">
        <v>7.9</v>
      </c>
      <c r="C12">
        <f>8.25-7.2</f>
        <v>1.0499999999999998</v>
      </c>
    </row>
    <row r="13" spans="1:3">
      <c r="A13" t="s">
        <v>11</v>
      </c>
      <c r="B13">
        <v>7.8</v>
      </c>
      <c r="C13">
        <f>7.8-7.4</f>
        <v>0.39999999999999947</v>
      </c>
    </row>
    <row r="14" spans="1:3">
      <c r="A14" t="s">
        <v>12</v>
      </c>
      <c r="B14">
        <v>3</v>
      </c>
      <c r="C14">
        <v>0</v>
      </c>
    </row>
    <row r="15" spans="1:3">
      <c r="A15" t="s">
        <v>13</v>
      </c>
      <c r="B15">
        <v>3.4</v>
      </c>
      <c r="C15">
        <v>0</v>
      </c>
    </row>
    <row r="16" spans="1:3">
      <c r="A16" t="s">
        <v>14</v>
      </c>
      <c r="B16">
        <v>6.8</v>
      </c>
      <c r="C16">
        <f>8.98-6.12</f>
        <v>2.8600000000000003</v>
      </c>
    </row>
    <row r="17" spans="1:3">
      <c r="A17" t="s">
        <v>15</v>
      </c>
      <c r="B17">
        <v>6.45</v>
      </c>
      <c r="C17">
        <f>6.45-6.25</f>
        <v>0.20000000000000018</v>
      </c>
    </row>
    <row r="18" spans="1:3">
      <c r="A18" t="s">
        <v>16</v>
      </c>
      <c r="B18">
        <v>5.8</v>
      </c>
      <c r="C18">
        <f>6-5.8</f>
        <v>0.20000000000000018</v>
      </c>
    </row>
    <row r="19" spans="1:3">
      <c r="A19" t="s">
        <v>17</v>
      </c>
      <c r="B19">
        <v>4</v>
      </c>
      <c r="C19" s="1">
        <f>6-2</f>
        <v>4</v>
      </c>
    </row>
    <row r="20" spans="1:3">
      <c r="A20" t="s">
        <v>18</v>
      </c>
      <c r="B20">
        <v>8.5</v>
      </c>
      <c r="C20">
        <v>0</v>
      </c>
    </row>
    <row r="21" spans="1:3">
      <c r="A21" t="s">
        <v>19</v>
      </c>
      <c r="B21">
        <v>4.75</v>
      </c>
      <c r="C21">
        <f>5.75-4.75</f>
        <v>1</v>
      </c>
    </row>
    <row r="22" spans="1:3">
      <c r="A22" t="s">
        <v>20</v>
      </c>
      <c r="B22">
        <v>5.3</v>
      </c>
      <c r="C22">
        <v>0</v>
      </c>
    </row>
    <row r="23" spans="1:3">
      <c r="A23" t="s">
        <v>21</v>
      </c>
      <c r="B23">
        <v>4.3499999999999996</v>
      </c>
      <c r="C23">
        <v>0</v>
      </c>
    </row>
    <row r="24" spans="1:3">
      <c r="A24" t="s">
        <v>22</v>
      </c>
      <c r="B24">
        <v>7.05</v>
      </c>
      <c r="C24">
        <f>7.85-5.35</f>
        <v>2.5</v>
      </c>
    </row>
    <row r="25" spans="1:3">
      <c r="A25" t="s">
        <v>23</v>
      </c>
      <c r="B25">
        <v>5</v>
      </c>
      <c r="C25">
        <v>0</v>
      </c>
    </row>
    <row r="26" spans="1:3">
      <c r="A26" t="s">
        <v>24</v>
      </c>
      <c r="B26">
        <v>6</v>
      </c>
      <c r="C26">
        <v>0</v>
      </c>
    </row>
    <row r="27" spans="1:3">
      <c r="A27" t="s">
        <v>25</v>
      </c>
      <c r="B27">
        <v>6.9</v>
      </c>
      <c r="C27">
        <v>0</v>
      </c>
    </row>
    <row r="28" spans="1:3">
      <c r="A28" t="s">
        <v>26</v>
      </c>
      <c r="B28">
        <v>6.84</v>
      </c>
      <c r="C28">
        <f>6.84-5.12</f>
        <v>1.7199999999999998</v>
      </c>
    </row>
    <row r="29" spans="1:3">
      <c r="A29" t="s">
        <v>27</v>
      </c>
      <c r="B29">
        <v>0</v>
      </c>
      <c r="C29">
        <v>0</v>
      </c>
    </row>
    <row r="30" spans="1:3">
      <c r="A30" t="s">
        <v>28</v>
      </c>
      <c r="B30">
        <v>0</v>
      </c>
      <c r="C30">
        <v>0</v>
      </c>
    </row>
    <row r="31" spans="1:3">
      <c r="A31" t="s">
        <v>29</v>
      </c>
      <c r="B31">
        <v>5.5250000000000004</v>
      </c>
      <c r="C31">
        <f>8.97-1.75</f>
        <v>7.2200000000000006</v>
      </c>
    </row>
    <row r="32" spans="1:3">
      <c r="A32" t="s">
        <v>30</v>
      </c>
      <c r="B32">
        <v>5.3</v>
      </c>
      <c r="C32">
        <v>0</v>
      </c>
    </row>
    <row r="33" spans="1:3">
      <c r="A33" t="s">
        <v>31</v>
      </c>
      <c r="B33">
        <v>6.85</v>
      </c>
      <c r="C33">
        <v>0</v>
      </c>
    </row>
    <row r="34" spans="1:3">
      <c r="A34" t="s">
        <v>32</v>
      </c>
      <c r="B34">
        <v>7</v>
      </c>
      <c r="C34">
        <f>8-7</f>
        <v>1</v>
      </c>
    </row>
    <row r="35" spans="1:3">
      <c r="A35" t="s">
        <v>33</v>
      </c>
      <c r="B35">
        <v>3.92</v>
      </c>
      <c r="C35">
        <f>5.54-2.1</f>
        <v>3.44</v>
      </c>
    </row>
    <row r="36" spans="1:3">
      <c r="A36" t="s">
        <v>34</v>
      </c>
      <c r="B36">
        <v>4.5460000000000003</v>
      </c>
      <c r="C36">
        <f>6.555-3.895</f>
        <v>2.6599999999999997</v>
      </c>
    </row>
    <row r="37" spans="1:3">
      <c r="A37" t="s">
        <v>35</v>
      </c>
      <c r="B37">
        <v>5.65</v>
      </c>
      <c r="C37">
        <v>0</v>
      </c>
    </row>
    <row r="38" spans="1:3">
      <c r="A38" t="s">
        <v>36</v>
      </c>
      <c r="B38">
        <v>9</v>
      </c>
      <c r="C38">
        <v>0</v>
      </c>
    </row>
    <row r="39" spans="1:3">
      <c r="A39" t="s">
        <v>37</v>
      </c>
      <c r="B39">
        <v>3.07</v>
      </c>
      <c r="C39">
        <v>0</v>
      </c>
    </row>
    <row r="40" spans="1:3">
      <c r="A40" t="s">
        <v>38</v>
      </c>
      <c r="B40">
        <v>7</v>
      </c>
      <c r="C40">
        <f>9.9-3.75</f>
        <v>6.15</v>
      </c>
    </row>
    <row r="41" spans="1:3">
      <c r="A41" t="s">
        <v>39</v>
      </c>
      <c r="B41">
        <v>7</v>
      </c>
      <c r="C41">
        <v>0</v>
      </c>
    </row>
    <row r="42" spans="1:3">
      <c r="A42" t="s">
        <v>40</v>
      </c>
      <c r="B42">
        <v>0</v>
      </c>
      <c r="C42">
        <v>0</v>
      </c>
    </row>
    <row r="43" spans="1:3">
      <c r="A43" t="s">
        <v>41</v>
      </c>
      <c r="B43">
        <v>6</v>
      </c>
      <c r="C43">
        <v>0</v>
      </c>
    </row>
    <row r="44" spans="1:3">
      <c r="A44" t="s">
        <v>42</v>
      </c>
      <c r="B44">
        <v>0</v>
      </c>
      <c r="C44">
        <v>0</v>
      </c>
    </row>
    <row r="45" spans="1:3">
      <c r="A45" t="s">
        <v>43</v>
      </c>
      <c r="B45">
        <v>5</v>
      </c>
      <c r="C45">
        <v>0</v>
      </c>
    </row>
    <row r="46" spans="1:3">
      <c r="A46" t="s">
        <v>44</v>
      </c>
      <c r="B46">
        <v>7.2</v>
      </c>
      <c r="C46">
        <f>9.5-3.6</f>
        <v>5.9</v>
      </c>
    </row>
    <row r="47" spans="1:3">
      <c r="A47" t="s">
        <v>45</v>
      </c>
      <c r="B47">
        <v>5.75</v>
      </c>
      <c r="C47">
        <v>0</v>
      </c>
    </row>
    <row r="48" spans="1:3">
      <c r="A48" t="s">
        <v>46</v>
      </c>
      <c r="B48">
        <v>0</v>
      </c>
      <c r="C48">
        <v>0</v>
      </c>
    </row>
    <row r="49" spans="1:3">
      <c r="A49" t="s">
        <v>47</v>
      </c>
      <c r="B49">
        <v>6</v>
      </c>
      <c r="C49">
        <f>6.5-4</f>
        <v>2.5</v>
      </c>
    </row>
    <row r="50" spans="1:3">
      <c r="A50" t="s">
        <v>48</v>
      </c>
      <c r="B50">
        <v>6.5</v>
      </c>
      <c r="C50">
        <f>6.75-6.5</f>
        <v>0.25</v>
      </c>
    </row>
    <row r="51" spans="1:3">
      <c r="A51" t="s">
        <v>49</v>
      </c>
      <c r="B51">
        <v>0</v>
      </c>
      <c r="C51">
        <v>0</v>
      </c>
    </row>
    <row r="52" spans="1:3">
      <c r="A52" t="s">
        <v>50</v>
      </c>
      <c r="B52">
        <v>8.5</v>
      </c>
      <c r="C52">
        <f>8.5-6</f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itfsa</dc:creator>
  <cp:lastModifiedBy>itfsa</cp:lastModifiedBy>
  <dcterms:created xsi:type="dcterms:W3CDTF">2013-02-28T21:18:30Z</dcterms:created>
  <dcterms:modified xsi:type="dcterms:W3CDTF">2013-02-28T22:29:15Z</dcterms:modified>
</cp:coreProperties>
</file>